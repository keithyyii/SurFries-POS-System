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gelKeith\Downloads\"/>
    </mc:Choice>
  </mc:AlternateContent>
  <xr:revisionPtr revIDLastSave="0" documentId="13_ncr:1_{69E176F6-E46B-4512-BF1E-7792DCC1AB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 Data" sheetId="1" r:id="rId1"/>
    <sheet name="Analytics" sheetId="2" r:id="rId2"/>
    <sheet name="Monthly Summary" sheetId="3" r:id="rId3"/>
    <sheet name="Product Analytics" sheetId="4" r:id="rId4"/>
    <sheet name="Issue Analytic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7" i="5"/>
  <c r="B6" i="5"/>
  <c r="B5" i="5"/>
  <c r="B4" i="5"/>
  <c r="B3" i="5"/>
  <c r="B2" i="5"/>
  <c r="B6" i="4"/>
  <c r="B5" i="4"/>
  <c r="B4" i="4"/>
  <c r="B3" i="4"/>
  <c r="B2" i="4"/>
  <c r="C5" i="3"/>
  <c r="B5" i="3"/>
  <c r="C4" i="3"/>
  <c r="B4" i="3"/>
  <c r="C3" i="3"/>
  <c r="B3" i="3"/>
  <c r="C2" i="3"/>
  <c r="B2" i="3"/>
  <c r="B5" i="2"/>
  <c r="B4" i="2"/>
  <c r="B3" i="2"/>
</calcChain>
</file>

<file path=xl/sharedStrings.xml><?xml version="1.0" encoding="utf-8"?>
<sst xmlns="http://schemas.openxmlformats.org/spreadsheetml/2006/main" count="274" uniqueCount="95">
  <si>
    <t>Date</t>
  </si>
  <si>
    <t>Orders</t>
  </si>
  <si>
    <t>Revenue</t>
  </si>
  <si>
    <t>Add-ons</t>
  </si>
  <si>
    <t>Total Sales</t>
  </si>
  <si>
    <t>Expenses</t>
  </si>
  <si>
    <t>Net Profit</t>
  </si>
  <si>
    <t>Best Seller</t>
  </si>
  <si>
    <t>Issue</t>
  </si>
  <si>
    <t>Peak Hour</t>
  </si>
  <si>
    <t>Jan 01</t>
  </si>
  <si>
    <t>Tagapagmana</t>
  </si>
  <si>
    <t>None</t>
  </si>
  <si>
    <t>6–8 PM</t>
  </si>
  <si>
    <t>Jan 02</t>
  </si>
  <si>
    <t>Nakakaluwag</t>
  </si>
  <si>
    <t>4–6 PM</t>
  </si>
  <si>
    <t>Jan 03</t>
  </si>
  <si>
    <t>Rich Kid</t>
  </si>
  <si>
    <t>5–7 PM</t>
  </si>
  <si>
    <t>Jan 04</t>
  </si>
  <si>
    <t>Contractor</t>
  </si>
  <si>
    <t>Delivery delay</t>
  </si>
  <si>
    <t>Jan 05</t>
  </si>
  <si>
    <t>Jan 06</t>
  </si>
  <si>
    <t>6–9 PM</t>
  </si>
  <si>
    <t>Jan 07</t>
  </si>
  <si>
    <t>Short packs</t>
  </si>
  <si>
    <t>7–9 PM</t>
  </si>
  <si>
    <t>Jan 08</t>
  </si>
  <si>
    <t>Jan 09</t>
  </si>
  <si>
    <t>Jan 10</t>
  </si>
  <si>
    <t>Jan 11</t>
  </si>
  <si>
    <t>Jan 12</t>
  </si>
  <si>
    <t>Jan 13</t>
  </si>
  <si>
    <t>Jan 14</t>
  </si>
  <si>
    <t>Jan 15</t>
  </si>
  <si>
    <t>Jan 16</t>
  </si>
  <si>
    <t>Jan 17</t>
  </si>
  <si>
    <t>Jan 18</t>
  </si>
  <si>
    <t>Jan 19</t>
  </si>
  <si>
    <t>Poorita</t>
  </si>
  <si>
    <t>Jan 20</t>
  </si>
  <si>
    <t>Jan 21</t>
  </si>
  <si>
    <t>Jan 22</t>
  </si>
  <si>
    <t>Jan 23</t>
  </si>
  <si>
    <t>Jan 24</t>
  </si>
  <si>
    <t>Jan 25</t>
  </si>
  <si>
    <t>Jan 26</t>
  </si>
  <si>
    <t>Jan 27</t>
  </si>
  <si>
    <t>Jan 28</t>
  </si>
  <si>
    <t>High expenses</t>
  </si>
  <si>
    <t>Jan 29</t>
  </si>
  <si>
    <t>Jan 30</t>
  </si>
  <si>
    <t>Jan 31</t>
  </si>
  <si>
    <t>Feb 01</t>
  </si>
  <si>
    <t>Feb 02</t>
  </si>
  <si>
    <t>Feb 03</t>
  </si>
  <si>
    <t>Feb 04</t>
  </si>
  <si>
    <t>Feb 05</t>
  </si>
  <si>
    <t>Low sales</t>
  </si>
  <si>
    <t>Feb 06</t>
  </si>
  <si>
    <t>Missing stock</t>
  </si>
  <si>
    <t>Feb 07</t>
  </si>
  <si>
    <t>Feb 08</t>
  </si>
  <si>
    <t>Feb 09</t>
  </si>
  <si>
    <t>Feb 10</t>
  </si>
  <si>
    <t>Feb 11</t>
  </si>
  <si>
    <t>Feb 12</t>
  </si>
  <si>
    <t>Feb 13</t>
  </si>
  <si>
    <t>Feb 14</t>
  </si>
  <si>
    <t>Feb 15</t>
  </si>
  <si>
    <t>Feb 16</t>
  </si>
  <si>
    <t>Feb 17</t>
  </si>
  <si>
    <t>Feb 18</t>
  </si>
  <si>
    <t>Feb 19</t>
  </si>
  <si>
    <t>Feb 20</t>
  </si>
  <si>
    <t>Feb 21</t>
  </si>
  <si>
    <t>Feb 22</t>
  </si>
  <si>
    <t>Feb 23</t>
  </si>
  <si>
    <t>Feb 24</t>
  </si>
  <si>
    <t>Feb 25</t>
  </si>
  <si>
    <t>Feb 26</t>
  </si>
  <si>
    <t>Feb 27</t>
  </si>
  <si>
    <t>Feb 28</t>
  </si>
  <si>
    <t>Metric</t>
  </si>
  <si>
    <t>Value</t>
  </si>
  <si>
    <t>Total Revenue</t>
  </si>
  <si>
    <t>Total Expenses</t>
  </si>
  <si>
    <t>Total Profit</t>
  </si>
  <si>
    <t>Average Daily Sales</t>
  </si>
  <si>
    <t>January</t>
  </si>
  <si>
    <t>February</t>
  </si>
  <si>
    <t>Product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</si>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</sst>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₱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PH"/>
              <a:t>Daily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'Daily Data'!$E$1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'Daily Data'!$A$2:$A$60</c:f>
              <c:strCache>
                <c:ptCount val="59"/>
                <c:pt idx="0">
                  <c:v>Jan 01</c:v>
                </c:pt>
                <c:pt idx="1">
                  <c:v>Jan 02</c:v>
                </c:pt>
                <c:pt idx="2">
                  <c:v>Jan 03</c:v>
                </c:pt>
                <c:pt idx="3">
                  <c:v>Jan 04</c:v>
                </c:pt>
                <c:pt idx="4">
                  <c:v>Jan 05</c:v>
                </c:pt>
                <c:pt idx="5">
                  <c:v>Jan 06</c:v>
                </c:pt>
                <c:pt idx="6">
                  <c:v>Jan 07</c:v>
                </c:pt>
                <c:pt idx="7">
                  <c:v>Jan 08</c:v>
                </c:pt>
                <c:pt idx="8">
                  <c:v>Jan 09</c:v>
                </c:pt>
                <c:pt idx="9">
                  <c:v>Jan 10</c:v>
                </c:pt>
                <c:pt idx="10">
                  <c:v>Jan 11</c:v>
                </c:pt>
                <c:pt idx="11">
                  <c:v>Jan 12</c:v>
                </c:pt>
                <c:pt idx="12">
                  <c:v>Jan 13</c:v>
                </c:pt>
                <c:pt idx="13">
                  <c:v>Jan 14</c:v>
                </c:pt>
                <c:pt idx="14">
                  <c:v>Jan 15</c:v>
                </c:pt>
                <c:pt idx="15">
                  <c:v>Jan 16</c:v>
                </c:pt>
                <c:pt idx="16">
                  <c:v>Jan 17</c:v>
                </c:pt>
                <c:pt idx="17">
                  <c:v>Jan 18</c:v>
                </c:pt>
                <c:pt idx="18">
                  <c:v>Jan 19</c:v>
                </c:pt>
                <c:pt idx="19">
                  <c:v>Jan 20</c:v>
                </c:pt>
                <c:pt idx="20">
                  <c:v>Jan 21</c:v>
                </c:pt>
                <c:pt idx="21">
                  <c:v>Jan 22</c:v>
                </c:pt>
                <c:pt idx="22">
                  <c:v>Jan 23</c:v>
                </c:pt>
                <c:pt idx="23">
                  <c:v>Jan 24</c:v>
                </c:pt>
                <c:pt idx="24">
                  <c:v>Jan 25</c:v>
                </c:pt>
                <c:pt idx="25">
                  <c:v>Jan 26</c:v>
                </c:pt>
                <c:pt idx="26">
                  <c:v>Jan 27</c:v>
                </c:pt>
                <c:pt idx="27">
                  <c:v>Jan 28</c:v>
                </c:pt>
                <c:pt idx="28">
                  <c:v>Jan 29</c:v>
                </c:pt>
                <c:pt idx="29">
                  <c:v>Jan 30</c:v>
                </c:pt>
                <c:pt idx="30">
                  <c:v>Jan 31</c:v>
                </c:pt>
                <c:pt idx="31">
                  <c:v>Feb 01</c:v>
                </c:pt>
                <c:pt idx="32">
                  <c:v>Feb 02</c:v>
                </c:pt>
                <c:pt idx="33">
                  <c:v>Feb 03</c:v>
                </c:pt>
                <c:pt idx="34">
                  <c:v>Feb 04</c:v>
                </c:pt>
                <c:pt idx="35">
                  <c:v>Feb 05</c:v>
                </c:pt>
                <c:pt idx="36">
                  <c:v>Feb 06</c:v>
                </c:pt>
                <c:pt idx="37">
                  <c:v>Feb 07</c:v>
                </c:pt>
                <c:pt idx="38">
                  <c:v>Feb 08</c:v>
                </c:pt>
                <c:pt idx="39">
                  <c:v>Feb 09</c:v>
                </c:pt>
                <c:pt idx="40">
                  <c:v>Feb 10</c:v>
                </c:pt>
                <c:pt idx="41">
                  <c:v>Feb 11</c:v>
                </c:pt>
                <c:pt idx="42">
                  <c:v>Feb 12</c:v>
                </c:pt>
                <c:pt idx="43">
                  <c:v>Feb 13</c:v>
                </c:pt>
                <c:pt idx="44">
                  <c:v>Feb 14</c:v>
                </c:pt>
                <c:pt idx="45">
                  <c:v>Feb 15</c:v>
                </c:pt>
                <c:pt idx="46">
                  <c:v>Feb 16</c:v>
                </c:pt>
                <c:pt idx="47">
                  <c:v>Feb 17</c:v>
                </c:pt>
                <c:pt idx="48">
                  <c:v>Feb 18</c:v>
                </c:pt>
                <c:pt idx="49">
                  <c:v>Feb 19</c:v>
                </c:pt>
                <c:pt idx="50">
                  <c:v>Feb 20</c:v>
                </c:pt>
                <c:pt idx="51">
                  <c:v>Feb 21</c:v>
                </c:pt>
                <c:pt idx="52">
                  <c:v>Feb 22</c:v>
                </c:pt>
                <c:pt idx="53">
                  <c:v>Feb 23</c:v>
                </c:pt>
                <c:pt idx="54">
                  <c:v>Feb 24</c:v>
                </c:pt>
                <c:pt idx="55">
                  <c:v>Feb 25</c:v>
                </c:pt>
                <c:pt idx="56">
                  <c:v>Feb 26</c:v>
                </c:pt>
                <c:pt idx="57">
                  <c:v>Feb 27</c:v>
                </c:pt>
                <c:pt idx="58">
                  <c:v>Feb 28</c:v>
                </c:pt>
              </c:strCache>
            </c:strRef>
          </c:cat>
          <c:val>
            <c:numRef>
              <c:f>'Daily Data'!$E$2:$E$60</c:f>
              <c:numCache>
                <c:formatCode>General</c:formatCode>
                <c:ptCount val="59"/>
                <c:pt idx="0">
                  <c:v>2040</c:v>
                </c:pt>
                <c:pt idx="1">
                  <c:v>3524</c:v>
                </c:pt>
                <c:pt idx="2">
                  <c:v>4033</c:v>
                </c:pt>
                <c:pt idx="3">
                  <c:v>2160</c:v>
                </c:pt>
                <c:pt idx="4">
                  <c:v>2274</c:v>
                </c:pt>
                <c:pt idx="5">
                  <c:v>5134</c:v>
                </c:pt>
                <c:pt idx="6">
                  <c:v>3335</c:v>
                </c:pt>
                <c:pt idx="7">
                  <c:v>3714</c:v>
                </c:pt>
                <c:pt idx="8">
                  <c:v>3609</c:v>
                </c:pt>
                <c:pt idx="9">
                  <c:v>1936</c:v>
                </c:pt>
                <c:pt idx="10">
                  <c:v>3158</c:v>
                </c:pt>
                <c:pt idx="11">
                  <c:v>1406</c:v>
                </c:pt>
                <c:pt idx="12">
                  <c:v>2132</c:v>
                </c:pt>
                <c:pt idx="13">
                  <c:v>1750</c:v>
                </c:pt>
                <c:pt idx="14">
                  <c:v>1050</c:v>
                </c:pt>
                <c:pt idx="15">
                  <c:v>4040</c:v>
                </c:pt>
                <c:pt idx="16">
                  <c:v>1923</c:v>
                </c:pt>
                <c:pt idx="17">
                  <c:v>3340</c:v>
                </c:pt>
                <c:pt idx="18">
                  <c:v>5010</c:v>
                </c:pt>
                <c:pt idx="19">
                  <c:v>1680</c:v>
                </c:pt>
                <c:pt idx="20">
                  <c:v>3090</c:v>
                </c:pt>
                <c:pt idx="21">
                  <c:v>3150</c:v>
                </c:pt>
                <c:pt idx="22">
                  <c:v>4416</c:v>
                </c:pt>
                <c:pt idx="23">
                  <c:v>1747</c:v>
                </c:pt>
                <c:pt idx="24">
                  <c:v>2614</c:v>
                </c:pt>
                <c:pt idx="25">
                  <c:v>1542</c:v>
                </c:pt>
                <c:pt idx="26">
                  <c:v>3136</c:v>
                </c:pt>
                <c:pt idx="27">
                  <c:v>2467</c:v>
                </c:pt>
                <c:pt idx="28">
                  <c:v>1953</c:v>
                </c:pt>
                <c:pt idx="29">
                  <c:v>2315</c:v>
                </c:pt>
                <c:pt idx="30">
                  <c:v>3789</c:v>
                </c:pt>
                <c:pt idx="31">
                  <c:v>3010</c:v>
                </c:pt>
                <c:pt idx="32">
                  <c:v>1905</c:v>
                </c:pt>
                <c:pt idx="33">
                  <c:v>2875</c:v>
                </c:pt>
                <c:pt idx="34">
                  <c:v>2768</c:v>
                </c:pt>
                <c:pt idx="35">
                  <c:v>4870</c:v>
                </c:pt>
                <c:pt idx="36">
                  <c:v>2100</c:v>
                </c:pt>
                <c:pt idx="37">
                  <c:v>2667</c:v>
                </c:pt>
                <c:pt idx="38">
                  <c:v>1371</c:v>
                </c:pt>
                <c:pt idx="39">
                  <c:v>1708</c:v>
                </c:pt>
                <c:pt idx="40">
                  <c:v>3410</c:v>
                </c:pt>
                <c:pt idx="41">
                  <c:v>2405</c:v>
                </c:pt>
                <c:pt idx="42">
                  <c:v>3482</c:v>
                </c:pt>
                <c:pt idx="43">
                  <c:v>1848</c:v>
                </c:pt>
                <c:pt idx="44">
                  <c:v>1801</c:v>
                </c:pt>
                <c:pt idx="45">
                  <c:v>1553</c:v>
                </c:pt>
                <c:pt idx="46">
                  <c:v>2592</c:v>
                </c:pt>
                <c:pt idx="47">
                  <c:v>1440</c:v>
                </c:pt>
                <c:pt idx="48">
                  <c:v>3962</c:v>
                </c:pt>
                <c:pt idx="49">
                  <c:v>3747</c:v>
                </c:pt>
                <c:pt idx="50">
                  <c:v>1580</c:v>
                </c:pt>
                <c:pt idx="51">
                  <c:v>1575</c:v>
                </c:pt>
                <c:pt idx="52">
                  <c:v>2496</c:v>
                </c:pt>
                <c:pt idx="53">
                  <c:v>2348</c:v>
                </c:pt>
                <c:pt idx="54">
                  <c:v>2173</c:v>
                </c:pt>
                <c:pt idx="55">
                  <c:v>2160</c:v>
                </c:pt>
                <c:pt idx="56">
                  <c:v>1957</c:v>
                </c:pt>
                <c:pt idx="57">
                  <c:v>1320</c:v>
                </c:pt>
                <c:pt idx="58">
                  <c:v>1426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6A-4349-82D3-345C437C0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Daily Total Sales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'Daily Data'!$E$1</c:f>
              <c:strCache>
                <c:ptCount val="1"/>
                <c:pt idx="0">
                  <c:v>Total Sales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invertIfNegative val="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invertIfNegative val="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invertIfNegative val="1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invertIfNegative val="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invertIfNegative val="1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invertIfNegative val="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invertIfNegative val="1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invertIfNegative val="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invertIfNegative val="1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invertIfNegative val="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invertIfNegative val="1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invertIfNegative val="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invertIfNegative val="1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invertIfNegative val="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invertIfNegative val="1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invertIfNegative val="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4"/>
            <c:invertIfNegative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5"/>
            <c:invertIfNegative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6"/>
            <c:invertIfNegative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7"/>
            <c:invertIfNegative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8"/>
            <c:invertIfNegative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9"/>
            <c:invertIfNegative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30"/>
            <c:invertIfNegative val="1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1"/>
            <c:invertIfNegative val="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2"/>
            <c:invertIfNegative val="1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3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4"/>
            <c:invertIfNegative val="1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5"/>
            <c:invertIfNegative val="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6"/>
            <c:invertIfNegative val="1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7"/>
            <c:invertIfNegative val="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8"/>
            <c:invertIfNegative val="1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9"/>
            <c:invertIfNegative val="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0"/>
            <c:invertIfNegative val="1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1"/>
            <c:invertIfNegative val="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2"/>
            <c:invertIfNegative val="1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3"/>
            <c:invertIfNegative val="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4"/>
            <c:invertIfNegative val="1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5"/>
            <c:invertIfNegative val="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6"/>
            <c:invertIfNegative val="1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7"/>
            <c:invertIfNegative val="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8"/>
            <c:invertIfNegative val="1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49"/>
            <c:invertIfNegative val="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0"/>
            <c:invertIfNegative val="1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1"/>
            <c:invertIfNegative val="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2"/>
            <c:invertIfNegative val="1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3"/>
            <c:invertIfNegative val="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4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55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56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57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58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'Daily Data'!$A$2:$A$60</c:f>
              <c:strCache>
                <c:ptCount val="59"/>
                <c:pt idx="0">
                  <c:v>Jan 01</c:v>
                </c:pt>
                <c:pt idx="1">
                  <c:v>Jan 02</c:v>
                </c:pt>
                <c:pt idx="2">
                  <c:v>Jan 03</c:v>
                </c:pt>
                <c:pt idx="3">
                  <c:v>Jan 04</c:v>
                </c:pt>
                <c:pt idx="4">
                  <c:v>Jan 05</c:v>
                </c:pt>
                <c:pt idx="5">
                  <c:v>Jan 06</c:v>
                </c:pt>
                <c:pt idx="6">
                  <c:v>Jan 07</c:v>
                </c:pt>
                <c:pt idx="7">
                  <c:v>Jan 08</c:v>
                </c:pt>
                <c:pt idx="8">
                  <c:v>Jan 09</c:v>
                </c:pt>
                <c:pt idx="9">
                  <c:v>Jan 10</c:v>
                </c:pt>
                <c:pt idx="10">
                  <c:v>Jan 11</c:v>
                </c:pt>
                <c:pt idx="11">
                  <c:v>Jan 12</c:v>
                </c:pt>
                <c:pt idx="12">
                  <c:v>Jan 13</c:v>
                </c:pt>
                <c:pt idx="13">
                  <c:v>Jan 14</c:v>
                </c:pt>
                <c:pt idx="14">
                  <c:v>Jan 15</c:v>
                </c:pt>
                <c:pt idx="15">
                  <c:v>Jan 16</c:v>
                </c:pt>
                <c:pt idx="16">
                  <c:v>Jan 17</c:v>
                </c:pt>
                <c:pt idx="17">
                  <c:v>Jan 18</c:v>
                </c:pt>
                <c:pt idx="18">
                  <c:v>Jan 19</c:v>
                </c:pt>
                <c:pt idx="19">
                  <c:v>Jan 20</c:v>
                </c:pt>
                <c:pt idx="20">
                  <c:v>Jan 21</c:v>
                </c:pt>
                <c:pt idx="21">
                  <c:v>Jan 22</c:v>
                </c:pt>
                <c:pt idx="22">
                  <c:v>Jan 23</c:v>
                </c:pt>
                <c:pt idx="23">
                  <c:v>Jan 24</c:v>
                </c:pt>
                <c:pt idx="24">
                  <c:v>Jan 25</c:v>
                </c:pt>
                <c:pt idx="25">
                  <c:v>Jan 26</c:v>
                </c:pt>
                <c:pt idx="26">
                  <c:v>Jan 27</c:v>
                </c:pt>
                <c:pt idx="27">
                  <c:v>Jan 28</c:v>
                </c:pt>
                <c:pt idx="28">
                  <c:v>Jan 29</c:v>
                </c:pt>
                <c:pt idx="29">
                  <c:v>Jan 30</c:v>
                </c:pt>
                <c:pt idx="30">
                  <c:v>Jan 31</c:v>
                </c:pt>
                <c:pt idx="31">
                  <c:v>Feb 01</c:v>
                </c:pt>
                <c:pt idx="32">
                  <c:v>Feb 02</c:v>
                </c:pt>
                <c:pt idx="33">
                  <c:v>Feb 03</c:v>
                </c:pt>
                <c:pt idx="34">
                  <c:v>Feb 04</c:v>
                </c:pt>
                <c:pt idx="35">
                  <c:v>Feb 05</c:v>
                </c:pt>
                <c:pt idx="36">
                  <c:v>Feb 06</c:v>
                </c:pt>
                <c:pt idx="37">
                  <c:v>Feb 07</c:v>
                </c:pt>
                <c:pt idx="38">
                  <c:v>Feb 08</c:v>
                </c:pt>
                <c:pt idx="39">
                  <c:v>Feb 09</c:v>
                </c:pt>
                <c:pt idx="40">
                  <c:v>Feb 10</c:v>
                </c:pt>
                <c:pt idx="41">
                  <c:v>Feb 11</c:v>
                </c:pt>
                <c:pt idx="42">
                  <c:v>Feb 12</c:v>
                </c:pt>
                <c:pt idx="43">
                  <c:v>Feb 13</c:v>
                </c:pt>
                <c:pt idx="44">
                  <c:v>Feb 14</c:v>
                </c:pt>
                <c:pt idx="45">
                  <c:v>Feb 15</c:v>
                </c:pt>
                <c:pt idx="46">
                  <c:v>Feb 16</c:v>
                </c:pt>
                <c:pt idx="47">
                  <c:v>Feb 17</c:v>
                </c:pt>
                <c:pt idx="48">
                  <c:v>Feb 18</c:v>
                </c:pt>
                <c:pt idx="49">
                  <c:v>Feb 19</c:v>
                </c:pt>
                <c:pt idx="50">
                  <c:v>Feb 20</c:v>
                </c:pt>
                <c:pt idx="51">
                  <c:v>Feb 21</c:v>
                </c:pt>
                <c:pt idx="52">
                  <c:v>Feb 22</c:v>
                </c:pt>
                <c:pt idx="53">
                  <c:v>Feb 23</c:v>
                </c:pt>
                <c:pt idx="54">
                  <c:v>Feb 24</c:v>
                </c:pt>
                <c:pt idx="55">
                  <c:v>Feb 25</c:v>
                </c:pt>
                <c:pt idx="56">
                  <c:v>Feb 26</c:v>
                </c:pt>
                <c:pt idx="57">
                  <c:v>Feb 27</c:v>
                </c:pt>
                <c:pt idx="58">
                  <c:v>Feb 28</c:v>
                </c:pt>
              </c:strCache>
            </c:strRef>
          </c:cat>
          <c:val>
            <c:numRef>
              <c:f>'Daily Data'!$E$2:$E$60</c:f>
              <c:numCache>
                <c:formatCode>General</c:formatCode>
                <c:ptCount val="59"/>
                <c:pt idx="0">
                  <c:v>2040</c:v>
                </c:pt>
                <c:pt idx="1">
                  <c:v>3524</c:v>
                </c:pt>
                <c:pt idx="2">
                  <c:v>4033</c:v>
                </c:pt>
                <c:pt idx="3">
                  <c:v>2160</c:v>
                </c:pt>
                <c:pt idx="4">
                  <c:v>2274</c:v>
                </c:pt>
                <c:pt idx="5">
                  <c:v>5134</c:v>
                </c:pt>
                <c:pt idx="6">
                  <c:v>3335</c:v>
                </c:pt>
                <c:pt idx="7">
                  <c:v>3714</c:v>
                </c:pt>
                <c:pt idx="8">
                  <c:v>3609</c:v>
                </c:pt>
                <c:pt idx="9">
                  <c:v>1936</c:v>
                </c:pt>
                <c:pt idx="10">
                  <c:v>3158</c:v>
                </c:pt>
                <c:pt idx="11">
                  <c:v>1406</c:v>
                </c:pt>
                <c:pt idx="12">
                  <c:v>2132</c:v>
                </c:pt>
                <c:pt idx="13">
                  <c:v>1750</c:v>
                </c:pt>
                <c:pt idx="14">
                  <c:v>1050</c:v>
                </c:pt>
                <c:pt idx="15">
                  <c:v>4040</c:v>
                </c:pt>
                <c:pt idx="16">
                  <c:v>1923</c:v>
                </c:pt>
                <c:pt idx="17">
                  <c:v>3340</c:v>
                </c:pt>
                <c:pt idx="18">
                  <c:v>5010</c:v>
                </c:pt>
                <c:pt idx="19">
                  <c:v>1680</c:v>
                </c:pt>
                <c:pt idx="20">
                  <c:v>3090</c:v>
                </c:pt>
                <c:pt idx="21">
                  <c:v>3150</c:v>
                </c:pt>
                <c:pt idx="22">
                  <c:v>4416</c:v>
                </c:pt>
                <c:pt idx="23">
                  <c:v>1747</c:v>
                </c:pt>
                <c:pt idx="24">
                  <c:v>2614</c:v>
                </c:pt>
                <c:pt idx="25">
                  <c:v>1542</c:v>
                </c:pt>
                <c:pt idx="26">
                  <c:v>3136</c:v>
                </c:pt>
                <c:pt idx="27">
                  <c:v>2467</c:v>
                </c:pt>
                <c:pt idx="28">
                  <c:v>1953</c:v>
                </c:pt>
                <c:pt idx="29">
                  <c:v>2315</c:v>
                </c:pt>
                <c:pt idx="30">
                  <c:v>3789</c:v>
                </c:pt>
                <c:pt idx="31">
                  <c:v>3010</c:v>
                </c:pt>
                <c:pt idx="32">
                  <c:v>1905</c:v>
                </c:pt>
                <c:pt idx="33">
                  <c:v>2875</c:v>
                </c:pt>
                <c:pt idx="34">
                  <c:v>2768</c:v>
                </c:pt>
                <c:pt idx="35">
                  <c:v>4870</c:v>
                </c:pt>
                <c:pt idx="36">
                  <c:v>2100</c:v>
                </c:pt>
                <c:pt idx="37">
                  <c:v>2667</c:v>
                </c:pt>
                <c:pt idx="38">
                  <c:v>1371</c:v>
                </c:pt>
                <c:pt idx="39">
                  <c:v>1708</c:v>
                </c:pt>
                <c:pt idx="40">
                  <c:v>3410</c:v>
                </c:pt>
                <c:pt idx="41">
                  <c:v>2405</c:v>
                </c:pt>
                <c:pt idx="42">
                  <c:v>3482</c:v>
                </c:pt>
                <c:pt idx="43">
                  <c:v>1848</c:v>
                </c:pt>
                <c:pt idx="44">
                  <c:v>1801</c:v>
                </c:pt>
                <c:pt idx="45">
                  <c:v>1553</c:v>
                </c:pt>
                <c:pt idx="46">
                  <c:v>2592</c:v>
                </c:pt>
                <c:pt idx="47">
                  <c:v>1440</c:v>
                </c:pt>
                <c:pt idx="48">
                  <c:v>3962</c:v>
                </c:pt>
                <c:pt idx="49">
                  <c:v>3747</c:v>
                </c:pt>
                <c:pt idx="50">
                  <c:v>1580</c:v>
                </c:pt>
                <c:pt idx="51">
                  <c:v>1575</c:v>
                </c:pt>
                <c:pt idx="52">
                  <c:v>2496</c:v>
                </c:pt>
                <c:pt idx="53">
                  <c:v>2348</c:v>
                </c:pt>
                <c:pt idx="54">
                  <c:v>2173</c:v>
                </c:pt>
                <c:pt idx="55">
                  <c:v>2160</c:v>
                </c:pt>
                <c:pt idx="56">
                  <c:v>1957</c:v>
                </c:pt>
                <c:pt idx="57">
                  <c:v>1320</c:v>
                </c:pt>
                <c:pt idx="58">
                  <c:v>1426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99-4284-9CF4-C23885EBD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PH"/>
              <a:t>January vs February Sales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'Monthly Summary'!$A$2:$A$4</c:f>
              <c:strCache>
                <c:ptCount val="3"/>
                <c:pt idx="0">
                  <c:v>Total Sales</c:v>
                </c:pt>
                <c:pt idx="1">
                  <c:v>Total Expenses</c:v>
                </c:pt>
                <c:pt idx="2">
                  <c:v>Net Profit</c:v>
                </c:pt>
              </c:strCache>
            </c:strRef>
          </c:cat>
          <c:val>
            <c:numRef>
              <c:f>'Monthly Summary'!$B$2:$B$4</c:f>
              <c:numCache>
                <c:formatCode>General</c:formatCode>
                <c:ptCount val="3"/>
                <c:pt idx="0">
                  <c:v>87467</c:v>
                </c:pt>
                <c:pt idx="1">
                  <c:v>2084</c:v>
                </c:pt>
                <c:pt idx="2">
                  <c:v>85383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0A-4870-8F9C-F3A743E45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b="1"/>
              <a:t>January vs February Comparison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'Monthly Summary'!$B$1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Summary'!$A$2:$A$4</c:f>
              <c:strCache>
                <c:ptCount val="3"/>
                <c:pt idx="0">
                  <c:v>Total Sales</c:v>
                </c:pt>
                <c:pt idx="1">
                  <c:v>Total Expenses</c:v>
                </c:pt>
                <c:pt idx="2">
                  <c:v>Net Profit</c:v>
                </c:pt>
              </c:strCache>
            </c:strRef>
          </c:cat>
          <c:val>
            <c:numRef>
              <c:f>'Monthly Summary'!$B$2:$B$4</c:f>
              <c:numCache>
                <c:formatCode>General</c:formatCode>
                <c:ptCount val="3"/>
                <c:pt idx="0">
                  <c:v>87467</c:v>
                </c:pt>
                <c:pt idx="1">
                  <c:v>2084</c:v>
                </c:pt>
                <c:pt idx="2">
                  <c:v>85383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3-47B3-85F0-22745EB63094}"/>
            </c:ext>
          </c:extLst>
        </c:ser>
        <c:ser>
          <c:idx val="1"/>
          <c:order val="1"/>
          <c:tx>
            <c:strRef>
              <c:f>'Monthly Summary'!$C$1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Summary'!$A$2:$A$4</c:f>
              <c:strCache>
                <c:ptCount val="3"/>
                <c:pt idx="0">
                  <c:v>Total Sales</c:v>
                </c:pt>
                <c:pt idx="1">
                  <c:v>Total Expenses</c:v>
                </c:pt>
                <c:pt idx="2">
                  <c:v>Net Profit</c:v>
                </c:pt>
              </c:strCache>
            </c:strRef>
          </c:cat>
          <c:val>
            <c:numRef>
              <c:f>'Monthly Summary'!$C$2:$C$4</c:f>
              <c:numCache>
                <c:formatCode>General</c:formatCode>
                <c:ptCount val="3"/>
                <c:pt idx="0">
                  <c:v>66549</c:v>
                </c:pt>
                <c:pt idx="1">
                  <c:v>1362</c:v>
                </c:pt>
                <c:pt idx="2">
                  <c:v>65187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E3-47B3-85F0-22745EB630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6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PH" b="1"/>
              <a:t>Best Seller Frequency</a:t>
            </a:r>
          </a:p>
        </c:rich>
      </c:tx>
      <c:layout>
        <c:manualLayout>
          <c:xMode val="edge"/>
          <c:yMode val="edge"/>
          <c:x val="0.41512740740740739"/>
          <c:y val="4.703703703703703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600" b="1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'Product Analytics'!$B$1</c:f>
              <c:strCache>
                <c:ptCount val="1"/>
                <c:pt idx="0">
                  <c:v>Frequency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solidFill>
                <a:schemeClr val="accent5">
                  <a:alpha val="70000"/>
                </a:schemeClr>
              </a:solidFill>
              <a:ln>
                <a:noFill/>
              </a:ln>
              <a:effectLst/>
            </c:spPr>
          </c:dPt>
          <c:cat>
            <c:strRef>
              <c:f>'Product Analytics'!$A$2:$A$6</c:f>
              <c:strCache>
                <c:ptCount val="5"/>
                <c:pt idx="0">
                  <c:v>Poorita</c:v>
                </c:pt>
                <c:pt idx="1">
                  <c:v>Nakakaluwag</c:v>
                </c:pt>
                <c:pt idx="2">
                  <c:v>Contractor</c:v>
                </c:pt>
                <c:pt idx="3">
                  <c:v>Rich Kid</c:v>
                </c:pt>
                <c:pt idx="4">
                  <c:v>Tagapagmana</c:v>
                </c:pt>
              </c:strCache>
            </c:strRef>
          </c:cat>
          <c:val>
            <c:numRef>
              <c:f>'Product Analytics'!$B$2:$B$6</c:f>
              <c:numCache>
                <c:formatCode>General</c:formatCode>
                <c:ptCount val="5"/>
                <c:pt idx="0">
                  <c:v>7</c:v>
                </c:pt>
                <c:pt idx="1">
                  <c:v>19</c:v>
                </c:pt>
                <c:pt idx="2">
                  <c:v>6</c:v>
                </c:pt>
                <c:pt idx="3">
                  <c:v>13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D-49C2-ADD8-D9B091FD4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PH" b="1"/>
              <a:t>Issue Frequency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'Issue Analytics'!$B$1</c:f>
              <c:strCache>
                <c:ptCount val="1"/>
                <c:pt idx="0">
                  <c:v>Frequency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solidFill>
                <a:schemeClr val="accent5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5"/>
            <c:invertIfNegative val="1"/>
            <c:bubble3D val="0"/>
            <c:spPr>
              <a:solidFill>
                <a:schemeClr val="accent6">
                  <a:alpha val="70000"/>
                </a:schemeClr>
              </a:solidFill>
              <a:ln>
                <a:noFill/>
              </a:ln>
              <a:effectLst/>
            </c:spPr>
          </c:dPt>
          <c:cat>
            <c:strRef>
              <c:f>'Issue Analytics'!$A$2:$A$7</c:f>
              <c:strCache>
                <c:ptCount val="6"/>
                <c:pt idx="0">
                  <c:v>None</c:v>
                </c:pt>
                <c:pt idx="1">
                  <c:v>Short packs</c:v>
                </c:pt>
                <c:pt idx="2">
                  <c:v>Low sales</c:v>
                </c:pt>
                <c:pt idx="3">
                  <c:v>Missing stock</c:v>
                </c:pt>
                <c:pt idx="4">
                  <c:v>High expenses</c:v>
                </c:pt>
                <c:pt idx="5">
                  <c:v>Delivery delay</c:v>
                </c:pt>
              </c:strCache>
            </c:strRef>
          </c:cat>
          <c:val>
            <c:numRef>
              <c:f>'Issue Analytics'!$B$2:$B$7</c:f>
              <c:numCache>
                <c:formatCode>General</c:formatCode>
                <c:ptCount val="6"/>
                <c:pt idx="0">
                  <c:v>48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D-4EC9-B31C-2E04F7591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tabSelected="1" workbookViewId="0">
      <selection activeCell="V16" sqref="V16"/>
    </sheetView>
  </sheetViews>
  <sheetFormatPr defaultRowHeight="14.4" x14ac:dyDescent="0.3"/>
  <cols>
    <col min="5" max="5" width="11" customWidth="1"/>
    <col min="6" max="6" width="9.33203125" customWidth="1"/>
    <col min="7" max="7" width="9.5546875" customWidth="1"/>
    <col min="8" max="8" width="16.109375" customWidth="1"/>
    <col min="9" max="9" width="12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33</v>
      </c>
      <c r="C2">
        <v>1980</v>
      </c>
      <c r="D2">
        <v>60</v>
      </c>
      <c r="E2">
        <v>2040</v>
      </c>
      <c r="F2">
        <v>189</v>
      </c>
      <c r="G2">
        <v>1851</v>
      </c>
      <c r="H2" t="s">
        <v>11</v>
      </c>
      <c r="I2" t="s">
        <v>12</v>
      </c>
      <c r="J2" t="s">
        <v>13</v>
      </c>
    </row>
    <row r="3" spans="1:10" x14ac:dyDescent="0.3">
      <c r="A3" t="s">
        <v>14</v>
      </c>
      <c r="B3">
        <v>41</v>
      </c>
      <c r="C3">
        <v>3444</v>
      </c>
      <c r="D3">
        <v>80</v>
      </c>
      <c r="E3">
        <v>3524</v>
      </c>
      <c r="F3">
        <v>40</v>
      </c>
      <c r="G3">
        <v>3484</v>
      </c>
      <c r="H3" t="s">
        <v>15</v>
      </c>
      <c r="I3" t="s">
        <v>12</v>
      </c>
      <c r="J3" t="s">
        <v>16</v>
      </c>
    </row>
    <row r="4" spans="1:10" x14ac:dyDescent="0.3">
      <c r="A4" t="s">
        <v>17</v>
      </c>
      <c r="B4">
        <v>37</v>
      </c>
      <c r="C4">
        <v>4033</v>
      </c>
      <c r="D4">
        <v>0</v>
      </c>
      <c r="E4">
        <v>4033</v>
      </c>
      <c r="F4">
        <v>112</v>
      </c>
      <c r="G4">
        <v>3921</v>
      </c>
      <c r="H4" t="s">
        <v>18</v>
      </c>
      <c r="I4" t="s">
        <v>12</v>
      </c>
      <c r="J4" t="s">
        <v>19</v>
      </c>
    </row>
    <row r="5" spans="1:10" x14ac:dyDescent="0.3">
      <c r="A5" t="s">
        <v>20</v>
      </c>
      <c r="B5">
        <v>24</v>
      </c>
      <c r="C5">
        <v>2160</v>
      </c>
      <c r="D5">
        <v>0</v>
      </c>
      <c r="E5">
        <v>2160</v>
      </c>
      <c r="F5">
        <v>70</v>
      </c>
      <c r="G5">
        <v>2090</v>
      </c>
      <c r="H5" t="s">
        <v>21</v>
      </c>
      <c r="I5" t="s">
        <v>22</v>
      </c>
      <c r="J5" t="s">
        <v>19</v>
      </c>
    </row>
    <row r="6" spans="1:10" x14ac:dyDescent="0.3">
      <c r="A6" t="s">
        <v>23</v>
      </c>
      <c r="B6">
        <v>18</v>
      </c>
      <c r="C6">
        <v>2124</v>
      </c>
      <c r="D6">
        <v>150</v>
      </c>
      <c r="E6">
        <v>2274</v>
      </c>
      <c r="F6">
        <v>60</v>
      </c>
      <c r="G6">
        <v>2214</v>
      </c>
      <c r="H6" t="s">
        <v>15</v>
      </c>
      <c r="I6" t="s">
        <v>12</v>
      </c>
      <c r="J6" t="s">
        <v>13</v>
      </c>
    </row>
    <row r="7" spans="1:10" x14ac:dyDescent="0.3">
      <c r="A7" t="s">
        <v>24</v>
      </c>
      <c r="B7">
        <v>43</v>
      </c>
      <c r="C7">
        <v>5074</v>
      </c>
      <c r="D7">
        <v>60</v>
      </c>
      <c r="E7">
        <v>5134</v>
      </c>
      <c r="F7">
        <v>50</v>
      </c>
      <c r="G7">
        <v>5084</v>
      </c>
      <c r="H7" t="s">
        <v>15</v>
      </c>
      <c r="I7" t="s">
        <v>12</v>
      </c>
      <c r="J7" t="s">
        <v>25</v>
      </c>
    </row>
    <row r="8" spans="1:10" x14ac:dyDescent="0.3">
      <c r="A8" t="s">
        <v>26</v>
      </c>
      <c r="B8">
        <v>29</v>
      </c>
      <c r="C8">
        <v>3335</v>
      </c>
      <c r="D8">
        <v>0</v>
      </c>
      <c r="E8">
        <v>3335</v>
      </c>
      <c r="F8">
        <v>60</v>
      </c>
      <c r="G8">
        <v>3275</v>
      </c>
      <c r="H8" t="s">
        <v>18</v>
      </c>
      <c r="I8" t="s">
        <v>27</v>
      </c>
      <c r="J8" t="s">
        <v>28</v>
      </c>
    </row>
    <row r="9" spans="1:10" x14ac:dyDescent="0.3">
      <c r="A9" t="s">
        <v>29</v>
      </c>
      <c r="B9">
        <v>33</v>
      </c>
      <c r="C9">
        <v>3564</v>
      </c>
      <c r="D9">
        <v>150</v>
      </c>
      <c r="E9">
        <v>3714</v>
      </c>
      <c r="F9">
        <v>70</v>
      </c>
      <c r="G9">
        <v>3644</v>
      </c>
      <c r="H9" t="s">
        <v>21</v>
      </c>
      <c r="I9" t="s">
        <v>12</v>
      </c>
      <c r="J9" t="s">
        <v>28</v>
      </c>
    </row>
    <row r="10" spans="1:10" x14ac:dyDescent="0.3">
      <c r="A10" t="s">
        <v>30</v>
      </c>
      <c r="B10">
        <v>43</v>
      </c>
      <c r="C10">
        <v>3569</v>
      </c>
      <c r="D10">
        <v>40</v>
      </c>
      <c r="E10">
        <v>3609</v>
      </c>
      <c r="F10">
        <v>150</v>
      </c>
      <c r="G10">
        <v>3459</v>
      </c>
      <c r="H10" t="s">
        <v>15</v>
      </c>
      <c r="I10" t="s">
        <v>12</v>
      </c>
      <c r="J10" t="s">
        <v>28</v>
      </c>
    </row>
    <row r="11" spans="1:10" x14ac:dyDescent="0.3">
      <c r="A11" t="s">
        <v>31</v>
      </c>
      <c r="B11">
        <v>29</v>
      </c>
      <c r="C11">
        <v>1856</v>
      </c>
      <c r="D11">
        <v>80</v>
      </c>
      <c r="E11">
        <v>1936</v>
      </c>
      <c r="F11">
        <v>70</v>
      </c>
      <c r="G11">
        <v>1866</v>
      </c>
      <c r="H11" t="s">
        <v>15</v>
      </c>
      <c r="I11" t="s">
        <v>12</v>
      </c>
      <c r="J11" t="s">
        <v>13</v>
      </c>
    </row>
    <row r="12" spans="1:10" x14ac:dyDescent="0.3">
      <c r="A12" t="s">
        <v>32</v>
      </c>
      <c r="B12">
        <v>32</v>
      </c>
      <c r="C12">
        <v>3008</v>
      </c>
      <c r="D12">
        <v>150</v>
      </c>
      <c r="E12">
        <v>3158</v>
      </c>
      <c r="F12">
        <v>60</v>
      </c>
      <c r="G12">
        <v>3098</v>
      </c>
      <c r="H12" t="s">
        <v>15</v>
      </c>
      <c r="I12" t="s">
        <v>12</v>
      </c>
      <c r="J12" t="s">
        <v>19</v>
      </c>
    </row>
    <row r="13" spans="1:10" x14ac:dyDescent="0.3">
      <c r="A13" t="s">
        <v>33</v>
      </c>
      <c r="B13">
        <v>17</v>
      </c>
      <c r="C13">
        <v>1326</v>
      </c>
      <c r="D13">
        <v>80</v>
      </c>
      <c r="E13">
        <v>1406</v>
      </c>
      <c r="F13">
        <v>20</v>
      </c>
      <c r="G13">
        <v>1386</v>
      </c>
      <c r="H13" t="s">
        <v>18</v>
      </c>
      <c r="I13" t="s">
        <v>12</v>
      </c>
      <c r="J13" t="s">
        <v>25</v>
      </c>
    </row>
    <row r="14" spans="1:10" x14ac:dyDescent="0.3">
      <c r="A14" t="s">
        <v>34</v>
      </c>
      <c r="B14">
        <v>19</v>
      </c>
      <c r="C14">
        <v>2052</v>
      </c>
      <c r="D14">
        <v>80</v>
      </c>
      <c r="E14">
        <v>2132</v>
      </c>
      <c r="F14">
        <v>50</v>
      </c>
      <c r="G14">
        <v>2082</v>
      </c>
      <c r="H14" t="s">
        <v>18</v>
      </c>
      <c r="I14" t="s">
        <v>12</v>
      </c>
      <c r="J14" t="s">
        <v>19</v>
      </c>
    </row>
    <row r="15" spans="1:10" x14ac:dyDescent="0.3">
      <c r="A15" t="s">
        <v>35</v>
      </c>
      <c r="B15">
        <v>15</v>
      </c>
      <c r="C15">
        <v>1650</v>
      </c>
      <c r="D15">
        <v>100</v>
      </c>
      <c r="E15">
        <v>1750</v>
      </c>
      <c r="F15">
        <v>70</v>
      </c>
      <c r="G15">
        <v>1680</v>
      </c>
      <c r="H15" t="s">
        <v>15</v>
      </c>
      <c r="I15" t="s">
        <v>12</v>
      </c>
      <c r="J15" t="s">
        <v>28</v>
      </c>
    </row>
    <row r="16" spans="1:10" x14ac:dyDescent="0.3">
      <c r="A16" t="s">
        <v>36</v>
      </c>
      <c r="B16">
        <v>15</v>
      </c>
      <c r="C16">
        <v>1050</v>
      </c>
      <c r="D16">
        <v>0</v>
      </c>
      <c r="E16">
        <v>1050</v>
      </c>
      <c r="F16">
        <v>70</v>
      </c>
      <c r="G16">
        <v>980</v>
      </c>
      <c r="H16" t="s">
        <v>11</v>
      </c>
      <c r="I16" t="s">
        <v>12</v>
      </c>
      <c r="J16" t="s">
        <v>16</v>
      </c>
    </row>
    <row r="17" spans="1:10" x14ac:dyDescent="0.3">
      <c r="A17" t="s">
        <v>37</v>
      </c>
      <c r="B17">
        <v>33</v>
      </c>
      <c r="C17">
        <v>3960</v>
      </c>
      <c r="D17">
        <v>80</v>
      </c>
      <c r="E17">
        <v>4040</v>
      </c>
      <c r="F17">
        <v>70</v>
      </c>
      <c r="G17">
        <v>3970</v>
      </c>
      <c r="H17" t="s">
        <v>15</v>
      </c>
      <c r="I17" t="s">
        <v>27</v>
      </c>
      <c r="J17" t="s">
        <v>28</v>
      </c>
    </row>
    <row r="18" spans="1:10" x14ac:dyDescent="0.3">
      <c r="A18" t="s">
        <v>38</v>
      </c>
      <c r="B18">
        <v>23</v>
      </c>
      <c r="C18">
        <v>1863</v>
      </c>
      <c r="D18">
        <v>60</v>
      </c>
      <c r="E18">
        <v>1923</v>
      </c>
      <c r="F18">
        <v>20</v>
      </c>
      <c r="G18">
        <v>1903</v>
      </c>
      <c r="H18" t="s">
        <v>15</v>
      </c>
      <c r="I18" t="s">
        <v>12</v>
      </c>
      <c r="J18" t="s">
        <v>28</v>
      </c>
    </row>
    <row r="19" spans="1:10" x14ac:dyDescent="0.3">
      <c r="A19" t="s">
        <v>39</v>
      </c>
      <c r="B19">
        <v>30</v>
      </c>
      <c r="C19">
        <v>3300</v>
      </c>
      <c r="D19">
        <v>40</v>
      </c>
      <c r="E19">
        <v>3340</v>
      </c>
      <c r="F19">
        <v>50</v>
      </c>
      <c r="G19">
        <v>3290</v>
      </c>
      <c r="H19" t="s">
        <v>15</v>
      </c>
      <c r="I19" t="s">
        <v>12</v>
      </c>
      <c r="J19" t="s">
        <v>16</v>
      </c>
    </row>
    <row r="20" spans="1:10" x14ac:dyDescent="0.3">
      <c r="A20" t="s">
        <v>40</v>
      </c>
      <c r="B20">
        <v>45</v>
      </c>
      <c r="C20">
        <v>4860</v>
      </c>
      <c r="D20">
        <v>150</v>
      </c>
      <c r="E20">
        <v>5010</v>
      </c>
      <c r="F20">
        <v>50</v>
      </c>
      <c r="G20">
        <v>4960</v>
      </c>
      <c r="H20" t="s">
        <v>41</v>
      </c>
      <c r="I20" t="s">
        <v>12</v>
      </c>
      <c r="J20" t="s">
        <v>28</v>
      </c>
    </row>
    <row r="21" spans="1:10" x14ac:dyDescent="0.3">
      <c r="A21" t="s">
        <v>42</v>
      </c>
      <c r="B21">
        <v>20</v>
      </c>
      <c r="C21">
        <v>1580</v>
      </c>
      <c r="D21">
        <v>100</v>
      </c>
      <c r="E21">
        <v>1680</v>
      </c>
      <c r="F21">
        <v>20</v>
      </c>
      <c r="G21">
        <v>1660</v>
      </c>
      <c r="H21" t="s">
        <v>18</v>
      </c>
      <c r="I21" t="s">
        <v>12</v>
      </c>
      <c r="J21" t="s">
        <v>28</v>
      </c>
    </row>
    <row r="22" spans="1:10" x14ac:dyDescent="0.3">
      <c r="A22" t="s">
        <v>43</v>
      </c>
      <c r="B22">
        <v>30</v>
      </c>
      <c r="C22">
        <v>3030</v>
      </c>
      <c r="D22">
        <v>60</v>
      </c>
      <c r="E22">
        <v>3090</v>
      </c>
      <c r="F22">
        <v>170</v>
      </c>
      <c r="G22">
        <v>2920</v>
      </c>
      <c r="H22" t="s">
        <v>21</v>
      </c>
      <c r="I22" t="s">
        <v>12</v>
      </c>
      <c r="J22" t="s">
        <v>16</v>
      </c>
    </row>
    <row r="23" spans="1:10" x14ac:dyDescent="0.3">
      <c r="A23" t="s">
        <v>44</v>
      </c>
      <c r="B23">
        <v>25</v>
      </c>
      <c r="C23">
        <v>3000</v>
      </c>
      <c r="D23">
        <v>150</v>
      </c>
      <c r="E23">
        <v>3150</v>
      </c>
      <c r="F23">
        <v>40</v>
      </c>
      <c r="G23">
        <v>3110</v>
      </c>
      <c r="H23" t="s">
        <v>11</v>
      </c>
      <c r="I23" t="s">
        <v>12</v>
      </c>
      <c r="J23" t="s">
        <v>19</v>
      </c>
    </row>
    <row r="24" spans="1:10" x14ac:dyDescent="0.3">
      <c r="A24" t="s">
        <v>45</v>
      </c>
      <c r="B24">
        <v>44</v>
      </c>
      <c r="C24">
        <v>4356</v>
      </c>
      <c r="D24">
        <v>60</v>
      </c>
      <c r="E24">
        <v>4416</v>
      </c>
      <c r="F24">
        <v>40</v>
      </c>
      <c r="G24">
        <v>4376</v>
      </c>
      <c r="H24" t="s">
        <v>15</v>
      </c>
      <c r="I24" t="s">
        <v>12</v>
      </c>
      <c r="J24" t="s">
        <v>28</v>
      </c>
    </row>
    <row r="25" spans="1:10" x14ac:dyDescent="0.3">
      <c r="A25" t="s">
        <v>46</v>
      </c>
      <c r="B25">
        <v>27</v>
      </c>
      <c r="C25">
        <v>1647</v>
      </c>
      <c r="D25">
        <v>100</v>
      </c>
      <c r="E25">
        <v>1747</v>
      </c>
      <c r="F25">
        <v>113</v>
      </c>
      <c r="G25">
        <v>1634</v>
      </c>
      <c r="H25" t="s">
        <v>11</v>
      </c>
      <c r="I25" t="s">
        <v>12</v>
      </c>
      <c r="J25" t="s">
        <v>16</v>
      </c>
    </row>
    <row r="26" spans="1:10" x14ac:dyDescent="0.3">
      <c r="A26" t="s">
        <v>47</v>
      </c>
      <c r="B26">
        <v>22</v>
      </c>
      <c r="C26">
        <v>2464</v>
      </c>
      <c r="D26">
        <v>150</v>
      </c>
      <c r="E26">
        <v>2614</v>
      </c>
      <c r="F26">
        <v>20</v>
      </c>
      <c r="G26">
        <v>2594</v>
      </c>
      <c r="H26" t="s">
        <v>18</v>
      </c>
      <c r="I26" t="s">
        <v>12</v>
      </c>
      <c r="J26" t="s">
        <v>16</v>
      </c>
    </row>
    <row r="27" spans="1:10" x14ac:dyDescent="0.3">
      <c r="A27" t="s">
        <v>48</v>
      </c>
      <c r="B27">
        <v>17</v>
      </c>
      <c r="C27">
        <v>1462</v>
      </c>
      <c r="D27">
        <v>80</v>
      </c>
      <c r="E27">
        <v>1542</v>
      </c>
      <c r="F27">
        <v>60</v>
      </c>
      <c r="G27">
        <v>1482</v>
      </c>
      <c r="H27" t="s">
        <v>11</v>
      </c>
      <c r="I27" t="s">
        <v>12</v>
      </c>
      <c r="J27" t="s">
        <v>28</v>
      </c>
    </row>
    <row r="28" spans="1:10" x14ac:dyDescent="0.3">
      <c r="A28" t="s">
        <v>49</v>
      </c>
      <c r="B28">
        <v>28</v>
      </c>
      <c r="C28">
        <v>3136</v>
      </c>
      <c r="D28">
        <v>0</v>
      </c>
      <c r="E28">
        <v>3136</v>
      </c>
      <c r="F28">
        <v>70</v>
      </c>
      <c r="G28">
        <v>3066</v>
      </c>
      <c r="H28" t="s">
        <v>21</v>
      </c>
      <c r="I28" t="s">
        <v>12</v>
      </c>
      <c r="J28" t="s">
        <v>19</v>
      </c>
    </row>
    <row r="29" spans="1:10" x14ac:dyDescent="0.3">
      <c r="A29" t="s">
        <v>50</v>
      </c>
      <c r="B29">
        <v>29</v>
      </c>
      <c r="C29">
        <v>2407</v>
      </c>
      <c r="D29">
        <v>60</v>
      </c>
      <c r="E29">
        <v>2467</v>
      </c>
      <c r="F29">
        <v>70</v>
      </c>
      <c r="G29">
        <v>2397</v>
      </c>
      <c r="H29" t="s">
        <v>11</v>
      </c>
      <c r="I29" t="s">
        <v>51</v>
      </c>
      <c r="J29" t="s">
        <v>16</v>
      </c>
    </row>
    <row r="30" spans="1:10" x14ac:dyDescent="0.3">
      <c r="A30" t="s">
        <v>52</v>
      </c>
      <c r="B30">
        <v>21</v>
      </c>
      <c r="C30">
        <v>1953</v>
      </c>
      <c r="D30">
        <v>0</v>
      </c>
      <c r="E30">
        <v>1953</v>
      </c>
      <c r="F30">
        <v>20</v>
      </c>
      <c r="G30">
        <v>1933</v>
      </c>
      <c r="H30" t="s">
        <v>15</v>
      </c>
      <c r="I30" t="s">
        <v>12</v>
      </c>
      <c r="J30" t="s">
        <v>19</v>
      </c>
    </row>
    <row r="31" spans="1:10" x14ac:dyDescent="0.3">
      <c r="A31" t="s">
        <v>53</v>
      </c>
      <c r="B31">
        <v>25</v>
      </c>
      <c r="C31">
        <v>2275</v>
      </c>
      <c r="D31">
        <v>40</v>
      </c>
      <c r="E31">
        <v>2315</v>
      </c>
      <c r="F31">
        <v>70</v>
      </c>
      <c r="G31">
        <v>2245</v>
      </c>
      <c r="H31" t="s">
        <v>18</v>
      </c>
      <c r="I31" t="s">
        <v>27</v>
      </c>
      <c r="J31" t="s">
        <v>13</v>
      </c>
    </row>
    <row r="32" spans="1:10" x14ac:dyDescent="0.3">
      <c r="A32" t="s">
        <v>54</v>
      </c>
      <c r="B32">
        <v>31</v>
      </c>
      <c r="C32">
        <v>3689</v>
      </c>
      <c r="D32">
        <v>100</v>
      </c>
      <c r="E32">
        <v>3789</v>
      </c>
      <c r="F32">
        <v>60</v>
      </c>
      <c r="G32">
        <v>3729</v>
      </c>
      <c r="H32" t="s">
        <v>11</v>
      </c>
      <c r="I32" t="s">
        <v>12</v>
      </c>
      <c r="J32" t="s">
        <v>19</v>
      </c>
    </row>
    <row r="33" spans="1:10" x14ac:dyDescent="0.3">
      <c r="A33" t="s">
        <v>55</v>
      </c>
      <c r="B33">
        <v>30</v>
      </c>
      <c r="C33">
        <v>2970</v>
      </c>
      <c r="D33">
        <v>40</v>
      </c>
      <c r="E33">
        <v>3010</v>
      </c>
      <c r="F33">
        <v>20</v>
      </c>
      <c r="G33">
        <v>2990</v>
      </c>
      <c r="H33" t="s">
        <v>15</v>
      </c>
      <c r="I33" t="s">
        <v>12</v>
      </c>
      <c r="J33" t="s">
        <v>16</v>
      </c>
    </row>
    <row r="34" spans="1:10" x14ac:dyDescent="0.3">
      <c r="A34" t="s">
        <v>56</v>
      </c>
      <c r="B34">
        <v>15</v>
      </c>
      <c r="C34">
        <v>1755</v>
      </c>
      <c r="D34">
        <v>150</v>
      </c>
      <c r="E34">
        <v>1905</v>
      </c>
      <c r="F34">
        <v>70</v>
      </c>
      <c r="G34">
        <v>1835</v>
      </c>
      <c r="H34" t="s">
        <v>41</v>
      </c>
      <c r="I34" t="s">
        <v>12</v>
      </c>
      <c r="J34" t="s">
        <v>16</v>
      </c>
    </row>
    <row r="35" spans="1:10" x14ac:dyDescent="0.3">
      <c r="A35" t="s">
        <v>57</v>
      </c>
      <c r="B35">
        <v>25</v>
      </c>
      <c r="C35">
        <v>2725</v>
      </c>
      <c r="D35">
        <v>150</v>
      </c>
      <c r="E35">
        <v>2875</v>
      </c>
      <c r="F35">
        <v>50</v>
      </c>
      <c r="G35">
        <v>2825</v>
      </c>
      <c r="H35" t="s">
        <v>15</v>
      </c>
      <c r="I35" t="s">
        <v>27</v>
      </c>
      <c r="J35" t="s">
        <v>13</v>
      </c>
    </row>
    <row r="36" spans="1:10" x14ac:dyDescent="0.3">
      <c r="A36" t="s">
        <v>58</v>
      </c>
      <c r="B36">
        <v>22</v>
      </c>
      <c r="C36">
        <v>2618</v>
      </c>
      <c r="D36">
        <v>150</v>
      </c>
      <c r="E36">
        <v>2768</v>
      </c>
      <c r="F36">
        <v>60</v>
      </c>
      <c r="G36">
        <v>2708</v>
      </c>
      <c r="H36" t="s">
        <v>18</v>
      </c>
      <c r="I36" t="s">
        <v>12</v>
      </c>
      <c r="J36" t="s">
        <v>16</v>
      </c>
    </row>
    <row r="37" spans="1:10" x14ac:dyDescent="0.3">
      <c r="A37" t="s">
        <v>59</v>
      </c>
      <c r="B37">
        <v>45</v>
      </c>
      <c r="C37">
        <v>4770</v>
      </c>
      <c r="D37">
        <v>100</v>
      </c>
      <c r="E37">
        <v>4870</v>
      </c>
      <c r="F37">
        <v>70</v>
      </c>
      <c r="G37">
        <v>4800</v>
      </c>
      <c r="H37" t="s">
        <v>41</v>
      </c>
      <c r="I37" t="s">
        <v>60</v>
      </c>
      <c r="J37" t="s">
        <v>19</v>
      </c>
    </row>
    <row r="38" spans="1:10" x14ac:dyDescent="0.3">
      <c r="A38" t="s">
        <v>61</v>
      </c>
      <c r="B38">
        <v>24</v>
      </c>
      <c r="C38">
        <v>2040</v>
      </c>
      <c r="D38">
        <v>60</v>
      </c>
      <c r="E38">
        <v>2100</v>
      </c>
      <c r="F38">
        <v>20</v>
      </c>
      <c r="G38">
        <v>2080</v>
      </c>
      <c r="H38" t="s">
        <v>18</v>
      </c>
      <c r="I38" t="s">
        <v>62</v>
      </c>
      <c r="J38" t="s">
        <v>25</v>
      </c>
    </row>
    <row r="39" spans="1:10" x14ac:dyDescent="0.3">
      <c r="A39" t="s">
        <v>63</v>
      </c>
      <c r="B39">
        <v>37</v>
      </c>
      <c r="C39">
        <v>2627</v>
      </c>
      <c r="D39">
        <v>40</v>
      </c>
      <c r="E39">
        <v>2667</v>
      </c>
      <c r="F39">
        <v>20</v>
      </c>
      <c r="G39">
        <v>2647</v>
      </c>
      <c r="H39" t="s">
        <v>41</v>
      </c>
      <c r="I39" t="s">
        <v>12</v>
      </c>
      <c r="J39" t="s">
        <v>16</v>
      </c>
    </row>
    <row r="40" spans="1:10" x14ac:dyDescent="0.3">
      <c r="A40" t="s">
        <v>64</v>
      </c>
      <c r="B40">
        <v>19</v>
      </c>
      <c r="C40">
        <v>1311</v>
      </c>
      <c r="D40">
        <v>60</v>
      </c>
      <c r="E40">
        <v>1371</v>
      </c>
      <c r="F40">
        <v>50</v>
      </c>
      <c r="G40">
        <v>1321</v>
      </c>
      <c r="H40" t="s">
        <v>11</v>
      </c>
      <c r="I40" t="s">
        <v>12</v>
      </c>
      <c r="J40" t="s">
        <v>19</v>
      </c>
    </row>
    <row r="41" spans="1:10" x14ac:dyDescent="0.3">
      <c r="A41" t="s">
        <v>65</v>
      </c>
      <c r="B41">
        <v>24</v>
      </c>
      <c r="C41">
        <v>1608</v>
      </c>
      <c r="D41">
        <v>100</v>
      </c>
      <c r="E41">
        <v>1708</v>
      </c>
      <c r="F41">
        <v>40</v>
      </c>
      <c r="G41">
        <v>1668</v>
      </c>
      <c r="H41" t="s">
        <v>11</v>
      </c>
      <c r="I41" t="s">
        <v>12</v>
      </c>
      <c r="J41" t="s">
        <v>25</v>
      </c>
    </row>
    <row r="42" spans="1:10" x14ac:dyDescent="0.3">
      <c r="A42" t="s">
        <v>66</v>
      </c>
      <c r="B42">
        <v>37</v>
      </c>
      <c r="C42">
        <v>3330</v>
      </c>
      <c r="D42">
        <v>80</v>
      </c>
      <c r="E42">
        <v>3410</v>
      </c>
      <c r="F42">
        <v>20</v>
      </c>
      <c r="G42">
        <v>3390</v>
      </c>
      <c r="H42" t="s">
        <v>11</v>
      </c>
      <c r="I42" t="s">
        <v>60</v>
      </c>
      <c r="J42" t="s">
        <v>13</v>
      </c>
    </row>
    <row r="43" spans="1:10" x14ac:dyDescent="0.3">
      <c r="A43" t="s">
        <v>67</v>
      </c>
      <c r="B43">
        <v>25</v>
      </c>
      <c r="C43">
        <v>2325</v>
      </c>
      <c r="D43">
        <v>80</v>
      </c>
      <c r="E43">
        <v>2405</v>
      </c>
      <c r="F43">
        <v>20</v>
      </c>
      <c r="G43">
        <v>2385</v>
      </c>
      <c r="H43" t="s">
        <v>11</v>
      </c>
      <c r="I43" t="s">
        <v>12</v>
      </c>
      <c r="J43" t="s">
        <v>13</v>
      </c>
    </row>
    <row r="44" spans="1:10" x14ac:dyDescent="0.3">
      <c r="A44" t="s">
        <v>68</v>
      </c>
      <c r="B44">
        <v>34</v>
      </c>
      <c r="C44">
        <v>3332</v>
      </c>
      <c r="D44">
        <v>150</v>
      </c>
      <c r="E44">
        <v>3482</v>
      </c>
      <c r="F44">
        <v>40</v>
      </c>
      <c r="G44">
        <v>3442</v>
      </c>
      <c r="H44" t="s">
        <v>15</v>
      </c>
      <c r="I44" t="s">
        <v>12</v>
      </c>
      <c r="J44" t="s">
        <v>19</v>
      </c>
    </row>
    <row r="45" spans="1:10" x14ac:dyDescent="0.3">
      <c r="A45" t="s">
        <v>69</v>
      </c>
      <c r="B45">
        <v>28</v>
      </c>
      <c r="C45">
        <v>1848</v>
      </c>
      <c r="D45">
        <v>0</v>
      </c>
      <c r="E45">
        <v>1848</v>
      </c>
      <c r="F45">
        <v>101</v>
      </c>
      <c r="G45">
        <v>1747</v>
      </c>
      <c r="H45" t="s">
        <v>15</v>
      </c>
      <c r="I45" t="s">
        <v>12</v>
      </c>
      <c r="J45" t="s">
        <v>28</v>
      </c>
    </row>
    <row r="46" spans="1:10" x14ac:dyDescent="0.3">
      <c r="A46" t="s">
        <v>70</v>
      </c>
      <c r="B46">
        <v>27</v>
      </c>
      <c r="C46">
        <v>1701</v>
      </c>
      <c r="D46">
        <v>100</v>
      </c>
      <c r="E46">
        <v>1801</v>
      </c>
      <c r="F46">
        <v>20</v>
      </c>
      <c r="G46">
        <v>1781</v>
      </c>
      <c r="H46" t="s">
        <v>41</v>
      </c>
      <c r="I46" t="s">
        <v>12</v>
      </c>
      <c r="J46" t="s">
        <v>13</v>
      </c>
    </row>
    <row r="47" spans="1:10" x14ac:dyDescent="0.3">
      <c r="A47" t="s">
        <v>71</v>
      </c>
      <c r="B47">
        <v>17</v>
      </c>
      <c r="C47">
        <v>1513</v>
      </c>
      <c r="D47">
        <v>40</v>
      </c>
      <c r="E47">
        <v>1553</v>
      </c>
      <c r="F47">
        <v>50</v>
      </c>
      <c r="G47">
        <v>1503</v>
      </c>
      <c r="H47" t="s">
        <v>11</v>
      </c>
      <c r="I47" t="s">
        <v>12</v>
      </c>
      <c r="J47" t="s">
        <v>28</v>
      </c>
    </row>
    <row r="48" spans="1:10" x14ac:dyDescent="0.3">
      <c r="A48" t="s">
        <v>72</v>
      </c>
      <c r="B48">
        <v>33</v>
      </c>
      <c r="C48">
        <v>2442</v>
      </c>
      <c r="D48">
        <v>150</v>
      </c>
      <c r="E48">
        <v>2592</v>
      </c>
      <c r="F48">
        <v>20</v>
      </c>
      <c r="G48">
        <v>2572</v>
      </c>
      <c r="H48" t="s">
        <v>11</v>
      </c>
      <c r="I48" t="s">
        <v>12</v>
      </c>
      <c r="J48" t="s">
        <v>19</v>
      </c>
    </row>
    <row r="49" spans="1:10" x14ac:dyDescent="0.3">
      <c r="A49" t="s">
        <v>73</v>
      </c>
      <c r="B49">
        <v>20</v>
      </c>
      <c r="C49">
        <v>1440</v>
      </c>
      <c r="D49">
        <v>0</v>
      </c>
      <c r="E49">
        <v>1440</v>
      </c>
      <c r="F49">
        <v>20</v>
      </c>
      <c r="G49">
        <v>1420</v>
      </c>
      <c r="H49" t="s">
        <v>15</v>
      </c>
      <c r="I49" t="s">
        <v>12</v>
      </c>
      <c r="J49" t="s">
        <v>28</v>
      </c>
    </row>
    <row r="50" spans="1:10" x14ac:dyDescent="0.3">
      <c r="A50" t="s">
        <v>74</v>
      </c>
      <c r="B50">
        <v>37</v>
      </c>
      <c r="C50">
        <v>3922</v>
      </c>
      <c r="D50">
        <v>40</v>
      </c>
      <c r="E50">
        <v>3962</v>
      </c>
      <c r="F50">
        <v>50</v>
      </c>
      <c r="G50">
        <v>3912</v>
      </c>
      <c r="H50" t="s">
        <v>41</v>
      </c>
      <c r="I50" t="s">
        <v>12</v>
      </c>
      <c r="J50" t="s">
        <v>28</v>
      </c>
    </row>
    <row r="51" spans="1:10" x14ac:dyDescent="0.3">
      <c r="A51" t="s">
        <v>75</v>
      </c>
      <c r="B51">
        <v>33</v>
      </c>
      <c r="C51">
        <v>3597</v>
      </c>
      <c r="D51">
        <v>150</v>
      </c>
      <c r="E51">
        <v>3747</v>
      </c>
      <c r="F51">
        <v>50</v>
      </c>
      <c r="G51">
        <v>3697</v>
      </c>
      <c r="H51" t="s">
        <v>15</v>
      </c>
      <c r="I51" t="s">
        <v>12</v>
      </c>
      <c r="J51" t="s">
        <v>19</v>
      </c>
    </row>
    <row r="52" spans="1:10" x14ac:dyDescent="0.3">
      <c r="A52" t="s">
        <v>76</v>
      </c>
      <c r="B52">
        <v>16</v>
      </c>
      <c r="C52">
        <v>1520</v>
      </c>
      <c r="D52">
        <v>60</v>
      </c>
      <c r="E52">
        <v>1580</v>
      </c>
      <c r="F52">
        <v>60</v>
      </c>
      <c r="G52">
        <v>1520</v>
      </c>
      <c r="H52" t="s">
        <v>18</v>
      </c>
      <c r="I52" t="s">
        <v>12</v>
      </c>
      <c r="J52" t="s">
        <v>19</v>
      </c>
    </row>
    <row r="53" spans="1:10" x14ac:dyDescent="0.3">
      <c r="A53" t="s">
        <v>77</v>
      </c>
      <c r="B53">
        <v>19</v>
      </c>
      <c r="C53">
        <v>1425</v>
      </c>
      <c r="D53">
        <v>150</v>
      </c>
      <c r="E53">
        <v>1575</v>
      </c>
      <c r="F53">
        <v>70</v>
      </c>
      <c r="G53">
        <v>1505</v>
      </c>
      <c r="H53" t="s">
        <v>18</v>
      </c>
      <c r="I53" t="s">
        <v>12</v>
      </c>
      <c r="J53" t="s">
        <v>28</v>
      </c>
    </row>
    <row r="54" spans="1:10" x14ac:dyDescent="0.3">
      <c r="A54" t="s">
        <v>78</v>
      </c>
      <c r="B54">
        <v>34</v>
      </c>
      <c r="C54">
        <v>2346</v>
      </c>
      <c r="D54">
        <v>150</v>
      </c>
      <c r="E54">
        <v>2496</v>
      </c>
      <c r="F54">
        <v>50</v>
      </c>
      <c r="G54">
        <v>2446</v>
      </c>
      <c r="H54" t="s">
        <v>21</v>
      </c>
      <c r="I54" t="s">
        <v>62</v>
      </c>
      <c r="J54" t="s">
        <v>13</v>
      </c>
    </row>
    <row r="55" spans="1:10" x14ac:dyDescent="0.3">
      <c r="A55" t="s">
        <v>79</v>
      </c>
      <c r="B55">
        <v>28</v>
      </c>
      <c r="C55">
        <v>2268</v>
      </c>
      <c r="D55">
        <v>80</v>
      </c>
      <c r="E55">
        <v>2348</v>
      </c>
      <c r="F55">
        <v>40</v>
      </c>
      <c r="G55">
        <v>2308</v>
      </c>
      <c r="H55" t="s">
        <v>41</v>
      </c>
      <c r="I55" t="s">
        <v>12</v>
      </c>
      <c r="J55" t="s">
        <v>19</v>
      </c>
    </row>
    <row r="56" spans="1:10" x14ac:dyDescent="0.3">
      <c r="A56" t="s">
        <v>80</v>
      </c>
      <c r="B56">
        <v>17</v>
      </c>
      <c r="C56">
        <v>2023</v>
      </c>
      <c r="D56">
        <v>150</v>
      </c>
      <c r="E56">
        <v>2173</v>
      </c>
      <c r="F56">
        <v>50</v>
      </c>
      <c r="G56">
        <v>2123</v>
      </c>
      <c r="H56" t="s">
        <v>18</v>
      </c>
      <c r="I56" t="s">
        <v>60</v>
      </c>
      <c r="J56" t="s">
        <v>19</v>
      </c>
    </row>
    <row r="57" spans="1:10" x14ac:dyDescent="0.3">
      <c r="A57" t="s">
        <v>81</v>
      </c>
      <c r="B57">
        <v>20</v>
      </c>
      <c r="C57">
        <v>2100</v>
      </c>
      <c r="D57">
        <v>60</v>
      </c>
      <c r="E57">
        <v>2160</v>
      </c>
      <c r="F57">
        <v>101</v>
      </c>
      <c r="G57">
        <v>2059</v>
      </c>
      <c r="H57" t="s">
        <v>21</v>
      </c>
      <c r="I57" t="s">
        <v>12</v>
      </c>
      <c r="J57" t="s">
        <v>25</v>
      </c>
    </row>
    <row r="58" spans="1:10" x14ac:dyDescent="0.3">
      <c r="A58" t="s">
        <v>82</v>
      </c>
      <c r="B58">
        <v>19</v>
      </c>
      <c r="C58">
        <v>1957</v>
      </c>
      <c r="D58">
        <v>0</v>
      </c>
      <c r="E58">
        <v>1957</v>
      </c>
      <c r="F58">
        <v>60</v>
      </c>
      <c r="G58">
        <v>1897</v>
      </c>
      <c r="H58" t="s">
        <v>18</v>
      </c>
      <c r="I58" t="s">
        <v>12</v>
      </c>
      <c r="J58" t="s">
        <v>25</v>
      </c>
    </row>
    <row r="59" spans="1:10" x14ac:dyDescent="0.3">
      <c r="A59" t="s">
        <v>83</v>
      </c>
      <c r="B59">
        <v>22</v>
      </c>
      <c r="C59">
        <v>1320</v>
      </c>
      <c r="D59">
        <v>0</v>
      </c>
      <c r="E59">
        <v>1320</v>
      </c>
      <c r="F59">
        <v>70</v>
      </c>
      <c r="G59">
        <v>1250</v>
      </c>
      <c r="H59" t="s">
        <v>11</v>
      </c>
      <c r="I59" t="s">
        <v>12</v>
      </c>
      <c r="J59" t="s">
        <v>16</v>
      </c>
    </row>
    <row r="60" spans="1:10" x14ac:dyDescent="0.3">
      <c r="A60" t="s">
        <v>84</v>
      </c>
      <c r="B60">
        <v>17</v>
      </c>
      <c r="C60">
        <v>1326</v>
      </c>
      <c r="D60">
        <v>100</v>
      </c>
      <c r="E60">
        <v>1426</v>
      </c>
      <c r="F60">
        <v>70</v>
      </c>
      <c r="G60">
        <v>1356</v>
      </c>
      <c r="H60" t="s">
        <v>15</v>
      </c>
      <c r="I60" t="s">
        <v>12</v>
      </c>
      <c r="J60" t="s">
        <v>19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P5" sqref="P5"/>
    </sheetView>
  </sheetViews>
  <sheetFormatPr defaultRowHeight="14.4" x14ac:dyDescent="0.3"/>
  <cols>
    <col min="1" max="1" width="17" customWidth="1"/>
    <col min="2" max="2" width="14.44140625" customWidth="1"/>
  </cols>
  <sheetData>
    <row r="1" spans="1:2" x14ac:dyDescent="0.3">
      <c r="A1" t="s">
        <v>85</v>
      </c>
      <c r="B1" t="s">
        <v>86</v>
      </c>
    </row>
    <row r="2" spans="1:2" x14ac:dyDescent="0.3">
      <c r="A2" t="s">
        <v>87</v>
      </c>
      <c r="B2" s="1">
        <f>SUM('Daily Data'!E2:E60)</f>
        <v>154016</v>
      </c>
    </row>
    <row r="3" spans="1:2" x14ac:dyDescent="0.3">
      <c r="A3" t="s">
        <v>88</v>
      </c>
      <c r="B3" s="1">
        <f>SUM('Daily Data'!F2:F60)</f>
        <v>3446</v>
      </c>
    </row>
    <row r="4" spans="1:2" x14ac:dyDescent="0.3">
      <c r="A4" t="s">
        <v>89</v>
      </c>
      <c r="B4" s="1">
        <f>SUM('Daily Data'!G2:G60)</f>
        <v>150570</v>
      </c>
    </row>
    <row r="5" spans="1:2" x14ac:dyDescent="0.3">
      <c r="A5" t="s">
        <v>90</v>
      </c>
      <c r="B5" s="1">
        <f>AVERAGE('Daily Data'!E2:E60)</f>
        <v>2610.4406779661017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F25" sqref="F25"/>
    </sheetView>
  </sheetViews>
  <sheetFormatPr defaultRowHeight="14.4" x14ac:dyDescent="0.3"/>
  <sheetData>
    <row r="1" spans="1:3" x14ac:dyDescent="0.3">
      <c r="A1" t="s">
        <v>85</v>
      </c>
      <c r="B1" t="s">
        <v>91</v>
      </c>
      <c r="C1" t="s">
        <v>92</v>
      </c>
    </row>
    <row r="2" spans="1:3" x14ac:dyDescent="0.3">
      <c r="A2" t="s">
        <v>4</v>
      </c>
      <c r="B2">
        <f>SUM('Daily Data'!E2:E32)</f>
        <v>87467</v>
      </c>
      <c r="C2">
        <f>SUM('Daily Data'!E33:E60)</f>
        <v>66549</v>
      </c>
    </row>
    <row r="3" spans="1:3" x14ac:dyDescent="0.3">
      <c r="A3" t="s">
        <v>88</v>
      </c>
      <c r="B3">
        <f>SUM('Daily Data'!F2:F32)</f>
        <v>2084</v>
      </c>
      <c r="C3">
        <f>SUM('Daily Data'!F33:F60)</f>
        <v>1362</v>
      </c>
    </row>
    <row r="4" spans="1:3" x14ac:dyDescent="0.3">
      <c r="A4" t="s">
        <v>6</v>
      </c>
      <c r="B4">
        <f>SUM('Daily Data'!G2:G32)</f>
        <v>85383</v>
      </c>
      <c r="C4">
        <f>SUM('Daily Data'!G33:G60)</f>
        <v>65187</v>
      </c>
    </row>
    <row r="5" spans="1:3" x14ac:dyDescent="0.3">
      <c r="A5" t="s">
        <v>90</v>
      </c>
      <c r="B5">
        <f>AVERAGE('Daily Data'!E2:E32)</f>
        <v>2821.516129032258</v>
      </c>
      <c r="C5">
        <f>AVERAGE('Daily Data'!E33:E60)</f>
        <v>2376.75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I24" sqref="I24"/>
    </sheetView>
  </sheetViews>
  <sheetFormatPr defaultRowHeight="14.4" x14ac:dyDescent="0.3"/>
  <sheetData>
    <row r="1" spans="1:2" x14ac:dyDescent="0.3">
      <c r="A1" t="s">
        <v>93</v>
      </c>
      <c r="B1" t="s">
        <v>94</v>
      </c>
    </row>
    <row r="2" spans="1:2" x14ac:dyDescent="0.3">
      <c r="A2" t="s">
        <v>41</v>
      </c>
      <c r="B2">
        <f>COUNTIF('Daily Data'!H2:H60,"Poorita")</f>
        <v>7</v>
      </c>
    </row>
    <row r="3" spans="1:2" x14ac:dyDescent="0.3">
      <c r="A3" t="s">
        <v>15</v>
      </c>
      <c r="B3">
        <f>COUNTIF('Daily Data'!H2:H60,"Nakakaluwag")</f>
        <v>19</v>
      </c>
    </row>
    <row r="4" spans="1:2" x14ac:dyDescent="0.3">
      <c r="A4" t="s">
        <v>21</v>
      </c>
      <c r="B4">
        <f>COUNTIF('Daily Data'!H2:H60,"Contractor")</f>
        <v>6</v>
      </c>
    </row>
    <row r="5" spans="1:2" x14ac:dyDescent="0.3">
      <c r="A5" t="s">
        <v>18</v>
      </c>
      <c r="B5">
        <f>COUNTIF('Daily Data'!H2:H60,"Rich Kid")</f>
        <v>13</v>
      </c>
    </row>
    <row r="6" spans="1:2" x14ac:dyDescent="0.3">
      <c r="A6" t="s">
        <v>11</v>
      </c>
      <c r="B6">
        <f>COUNTIF('Daily Data'!H2:H60,"Tagapagmana")</f>
        <v>14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O15" sqref="O15"/>
    </sheetView>
  </sheetViews>
  <sheetFormatPr defaultRowHeight="14.4" x14ac:dyDescent="0.3"/>
  <sheetData>
    <row r="1" spans="1:2" x14ac:dyDescent="0.3">
      <c r="A1" t="s">
        <v>8</v>
      </c>
      <c r="B1" t="s">
        <v>94</v>
      </c>
    </row>
    <row r="2" spans="1:2" x14ac:dyDescent="0.3">
      <c r="A2" t="s">
        <v>12</v>
      </c>
      <c r="B2">
        <f>COUNTIF('Daily Data'!I2:I60,"None")</f>
        <v>48</v>
      </c>
    </row>
    <row r="3" spans="1:2" x14ac:dyDescent="0.3">
      <c r="A3" t="s">
        <v>27</v>
      </c>
      <c r="B3">
        <f>COUNTIF('Daily Data'!I2:I60,"Short packs")</f>
        <v>4</v>
      </c>
    </row>
    <row r="4" spans="1:2" x14ac:dyDescent="0.3">
      <c r="A4" t="s">
        <v>60</v>
      </c>
      <c r="B4">
        <f>COUNTIF('Daily Data'!I2:I60,"Low sales")</f>
        <v>3</v>
      </c>
    </row>
    <row r="5" spans="1:2" x14ac:dyDescent="0.3">
      <c r="A5" t="s">
        <v>62</v>
      </c>
      <c r="B5">
        <f>COUNTIF('Daily Data'!I2:I60,"Missing stock")</f>
        <v>2</v>
      </c>
    </row>
    <row r="6" spans="1:2" x14ac:dyDescent="0.3">
      <c r="A6" t="s">
        <v>51</v>
      </c>
      <c r="B6">
        <f>COUNTIF('Daily Data'!I2:I60,"High expenses")</f>
        <v>1</v>
      </c>
    </row>
    <row r="7" spans="1:2" x14ac:dyDescent="0.3">
      <c r="A7" t="s">
        <v>22</v>
      </c>
      <c r="B7">
        <f>COUNTIF('Daily Data'!I2:I60,"Delivery delay")</f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 Data</vt:lpstr>
      <vt:lpstr>Analytics</vt:lpstr>
      <vt:lpstr>Monthly Summary</vt:lpstr>
      <vt:lpstr>Product Analytics</vt:lpstr>
      <vt:lpstr>Issue 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Natada</cp:lastModifiedBy>
  <dcterms:created xsi:type="dcterms:W3CDTF">2026-04-11T08:34:04Z</dcterms:created>
  <dcterms:modified xsi:type="dcterms:W3CDTF">2026-04-11T11:51:40Z</dcterms:modified>
</cp:coreProperties>
</file>